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40009_{7921C751-DA67-41EA-8D83-CB4CC568F82B}" xr6:coauthVersionLast="36" xr6:coauthVersionMax="36" xr10:uidLastSave="{00000000-0000-0000-0000-000000000000}"/>
  <bookViews>
    <workbookView xWindow="0" yWindow="0" windowWidth="28800" windowHeight="12225" activeTab="1"/>
  </bookViews>
  <sheets>
    <sheet name="Dinamica" sheetId="2" r:id="rId1"/>
    <sheet name="CONSOLIDADO 2022 CSV - 1" sheetId="1" r:id="rId2"/>
    <sheet name="Formulário" sheetId="3" r:id="rId3"/>
  </sheets>
  <externalReferences>
    <externalReference r:id="rId4"/>
  </externalReferences>
  <calcPr calcId="0"/>
  <pivotCaches>
    <pivotCache cacheId="7" r:id="rId5"/>
  </pivotCaches>
</workbook>
</file>

<file path=xl/calcChain.xml><?xml version="1.0" encoding="utf-8"?>
<calcChain xmlns="http://schemas.openxmlformats.org/spreadsheetml/2006/main">
  <c r="G8" i="3" l="1"/>
</calcChain>
</file>

<file path=xl/sharedStrings.xml><?xml version="1.0" encoding="utf-8"?>
<sst xmlns="http://schemas.openxmlformats.org/spreadsheetml/2006/main" count="36" uniqueCount="33">
  <si>
    <t>QUADRO CONTROLE - ENERGISA 2022</t>
  </si>
  <si>
    <t>MÊS DE REFERÊNCIA</t>
  </si>
  <si>
    <t xml:space="preserve">VALOR </t>
  </si>
  <si>
    <t>kWh</t>
  </si>
  <si>
    <t>Média diária</t>
  </si>
  <si>
    <t>6.348,39 kWh</t>
  </si>
  <si>
    <t>2.578,13 kWh</t>
  </si>
  <si>
    <t>4.158,90 kWh</t>
  </si>
  <si>
    <t>4.667,71 kWh</t>
  </si>
  <si>
    <t>4604,33 kWh</t>
  </si>
  <si>
    <t>4517,03 kWh</t>
  </si>
  <si>
    <t>4096,66 kWh</t>
  </si>
  <si>
    <t>4442,92 kWh</t>
  </si>
  <si>
    <t>4479,61 kWh</t>
  </si>
  <si>
    <t>4498,70 kWh</t>
  </si>
  <si>
    <t>4845,90 kWh</t>
  </si>
  <si>
    <t>4404,43 kWh</t>
  </si>
  <si>
    <t xml:space="preserve">Soma de VALOR </t>
  </si>
  <si>
    <t>Rótulos de Linha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</si>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</sst>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R$&quot;\ #,##0.00;[Red]\-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7" fontId="0" fillId="0" borderId="0" xfId="0" applyNumberFormat="1"/>
    <xf numFmtId="8" fontId="0" fillId="0" borderId="0" xfId="0" applyNumberFormat="1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[CONSOLIDADO 2022 CSV - 1.xlsm]Dinamica!Tabela dinâmica3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Dinamica!$B$1</c:f>
              <c:strCache>
                <c:ptCount val="1"/>
                <c:pt idx="0">
                  <c:v>Soma de VALOR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Dinamica!$A$2:$A$14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Dinamica!$B$2:$B$14</c:f>
              <c:numCache>
                <c:formatCode>General</c:formatCode>
                <c:ptCount val="12"/>
                <c:pt idx="0">
                  <c:v>131699.07</c:v>
                </c:pt>
                <c:pt idx="1">
                  <c:v>66087.69</c:v>
                </c:pt>
                <c:pt idx="2">
                  <c:v>92279.54</c:v>
                </c:pt>
                <c:pt idx="3">
                  <c:v>100624.68</c:v>
                </c:pt>
                <c:pt idx="4">
                  <c:v>93573.43</c:v>
                </c:pt>
                <c:pt idx="5">
                  <c:v>91120.42</c:v>
                </c:pt>
                <c:pt idx="6">
                  <c:v>87869.43</c:v>
                </c:pt>
                <c:pt idx="7">
                  <c:v>89954.49</c:v>
                </c:pt>
                <c:pt idx="8">
                  <c:v>91746.42</c:v>
                </c:pt>
                <c:pt idx="9">
                  <c:v>91549.3</c:v>
                </c:pt>
                <c:pt idx="10">
                  <c:v>94187.47</c:v>
                </c:pt>
                <c:pt idx="11">
                  <c:v>88314.39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7-401A-8F66-36A498B046E8}"/>
            </c:ext>
          </c:extLst>
        </c:ser>
        <c:ser>
          <c:idx val="1"/>
          <c:order val="1"/>
          <c:tx>
            <c:strRef>
              <c:f>Dinamica!$C$1</c:f>
              <c:strCache>
                <c:ptCount val="1"/>
                <c:pt idx="0">
                  <c:v>Soma de 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Dinamica!$A$2:$A$14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Dinamica!$C$2:$C$14</c:f>
              <c:numCache>
                <c:formatCode>General</c:formatCode>
                <c:ptCount val="12"/>
                <c:pt idx="0">
                  <c:v>196800</c:v>
                </c:pt>
                <c:pt idx="1">
                  <c:v>79922</c:v>
                </c:pt>
                <c:pt idx="2">
                  <c:v>128926</c:v>
                </c:pt>
                <c:pt idx="3">
                  <c:v>144699</c:v>
                </c:pt>
                <c:pt idx="4">
                  <c:v>138130</c:v>
                </c:pt>
                <c:pt idx="5">
                  <c:v>135511</c:v>
                </c:pt>
                <c:pt idx="6">
                  <c:v>126996</c:v>
                </c:pt>
                <c:pt idx="7">
                  <c:v>137730</c:v>
                </c:pt>
                <c:pt idx="8">
                  <c:v>138868</c:v>
                </c:pt>
                <c:pt idx="9">
                  <c:v>139459</c:v>
                </c:pt>
                <c:pt idx="10">
                  <c:v>145377</c:v>
                </c:pt>
                <c:pt idx="11">
                  <c:v>136537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7-401A-8F66-36A498B04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3790864"/>
        <c:axId val="1215966816"/>
      </c:barChart>
      <c:catAx>
        <c:axId val="121379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5966816"/>
        <c:crosses val="autoZero"/>
        <c:auto val="1"/>
        <c:lblAlgn val="ctr"/>
        <c:lblOffset val="100"/>
        <c:noMultiLvlLbl val="0"/>
      </c:catAx>
      <c:valAx>
        <c:axId val="121596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379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Dinamica!$A$2:$A$13" noThreeD="1" sel="5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1647824</xdr:colOff>
      <xdr:row>0</xdr:row>
      <xdr:rowOff>190499</xdr:rowOff>
    </xdr:from>
    <xdr:to>
      <xdr:col>16</xdr:col>
      <xdr:colOff>47625</xdr:colOff>
      <xdr:row>18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A7CC77-372A-4A70-B84D-85B527C18B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10</xdr:col>
          <xdr:colOff>581025</xdr:colOff>
          <xdr:row>5</xdr:row>
          <xdr:rowOff>9525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0F4271D-B7A3-48A2-A828-43929FC2A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12</xdr:row>
          <xdr:rowOff>180975</xdr:rowOff>
        </xdr:from>
        <xdr:to>
          <xdr:col>11</xdr:col>
          <xdr:colOff>561975</xdr:colOff>
          <xdr:row>14</xdr:row>
          <xdr:rowOff>66675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8F85A985-CC21-4D72-A3E2-DA4BB61D4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s%20e%20Direi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amica"/>
      <sheetName val="Bens e Direitos"/>
      <sheetName val="Formulário"/>
    </sheetNames>
    <definedNames>
      <definedName name="Limpar_Clique"/>
    </defined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837751736108" createdVersion="6" refreshedVersion="6" minRefreshableVersion="3" recordCount="12">
  <cacheSource type="worksheet">
    <worksheetSource ref="A2:D14" sheet="CONSOLIDADO 2022 CSV - 1"/>
  </cacheSource>
  <cacheFields count="5">
    <cacheField name="MÊS DE REFERÊNCIA" numFmtId="17">
      <sharedItems containsSemiMixedTypes="0" containsNonDate="0" containsDate="1" containsString="0" minDate="2022-01-01T00:00:00" maxDate="2022-12-02T00:00:00" count="12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</sharedItems>
      <fieldGroup par="4" base="0">
        <rangePr groupBy="days" startDate="2022-01-01T00:00:00" endDate="2022-12-02T00:00:00"/>
        <groupItems count="368">
          <s v="&lt;01/01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2/2022"/>
        </groupItems>
      </fieldGroup>
    </cacheField>
    <cacheField name="VALOR " numFmtId="8">
      <sharedItems containsSemiMixedTypes="0" containsString="0" containsNumber="1" minValue="66087.69" maxValue="131699.07"/>
    </cacheField>
    <cacheField name="kWh" numFmtId="3">
      <sharedItems containsSemiMixedTypes="0" containsString="0" containsNumber="1" containsInteger="1" minValue="79922" maxValue="196800"/>
    </cacheField>
    <cacheField name="Média diária" numFmtId="0">
      <sharedItems/>
    </cacheField>
    <cacheField name="Meses" numFmtId="0" databaseField="0">
      <fieldGroup base="0">
        <rangePr groupBy="months" startDate="2022-01-01T00:00:00" endDate="2022-12-02T00:00:00"/>
        <groupItems count="14">
          <s v="&lt;01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n v="131699.07"/>
    <n v="196800"/>
    <s v="6.348,39 kWh"/>
  </r>
  <r>
    <x v="1"/>
    <n v="66087.69"/>
    <n v="79922"/>
    <s v="2.578,13 kWh"/>
  </r>
  <r>
    <x v="2"/>
    <n v="92279.54"/>
    <n v="128926"/>
    <s v="4.158,90 kWh"/>
  </r>
  <r>
    <x v="3"/>
    <n v="100624.68"/>
    <n v="144699"/>
    <s v="4.667,71 kWh"/>
  </r>
  <r>
    <x v="4"/>
    <n v="93573.43"/>
    <n v="138130"/>
    <s v="4604,33 kWh"/>
  </r>
  <r>
    <x v="5"/>
    <n v="91120.42"/>
    <n v="135511"/>
    <s v="4517,03 kWh"/>
  </r>
  <r>
    <x v="6"/>
    <n v="87869.43"/>
    <n v="126996"/>
    <s v="4096,66 kWh"/>
  </r>
  <r>
    <x v="7"/>
    <n v="89954.49"/>
    <n v="137730"/>
    <s v="4442,92 kWh"/>
  </r>
  <r>
    <x v="8"/>
    <n v="91746.42"/>
    <n v="138868"/>
    <s v="4479,61 kWh"/>
  </r>
  <r>
    <x v="9"/>
    <n v="91549.3"/>
    <n v="139459"/>
    <s v="4498,70 kWh"/>
  </r>
  <r>
    <x v="10"/>
    <n v="94187.47"/>
    <n v="145377"/>
    <s v="4845,90 kWh"/>
  </r>
  <r>
    <x v="11"/>
    <n v="88314.39"/>
    <n v="136537"/>
    <s v="4404,43 kW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C14" firstHeaderRow="0" firstDataRow="1" firstDataCol="1"/>
  <pivotFields count="5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8" showAll="0"/>
    <pivotField dataField="1" numFmtId="3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" fld="1" baseField="0" baseItem="0"/>
    <dataField name="Soma de kWh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14"/>
  <sheetViews>
    <sheetView workbookViewId="0"/>
  </sheetViews>
  <sheetFormatPr defaultRowHeight="15" x14ac:dyDescent="0.25"/>
  <cols>
    <col min="1" max="1" width="18" bestFit="1" customWidth="1"/>
    <col min="2" max="2" width="15.5703125" bestFit="1" customWidth="1"/>
    <col min="3" max="3" width="13.28515625" bestFit="1" customWidth="1"/>
    <col min="4" max="4" width="24.7109375" bestFit="1" customWidth="1"/>
  </cols>
  <sheetData>
    <row r="1" spans="1:3" x14ac:dyDescent="0.25">
      <c r="A1" s="5" t="s">
        <v>18</v>
      </c>
      <c r="B1" t="s">
        <v>17</v>
      </c>
      <c r="C1" t="s">
        <v>32</v>
      </c>
    </row>
    <row r="2" spans="1:3" x14ac:dyDescent="0.25">
      <c r="A2" s="6" t="s">
        <v>20</v>
      </c>
      <c r="B2" s="4">
        <v>131699.07</v>
      </c>
      <c r="C2" s="4">
        <v>196800</v>
      </c>
    </row>
    <row r="3" spans="1:3" x14ac:dyDescent="0.25">
      <c r="A3" s="6" t="s">
        <v>21</v>
      </c>
      <c r="B3" s="4">
        <v>66087.69</v>
      </c>
      <c r="C3" s="4">
        <v>79922</v>
      </c>
    </row>
    <row r="4" spans="1:3" x14ac:dyDescent="0.25">
      <c r="A4" s="6" t="s">
        <v>22</v>
      </c>
      <c r="B4" s="4">
        <v>92279.54</v>
      </c>
      <c r="C4" s="4">
        <v>128926</v>
      </c>
    </row>
    <row r="5" spans="1:3" x14ac:dyDescent="0.25">
      <c r="A5" s="6" t="s">
        <v>23</v>
      </c>
      <c r="B5" s="4">
        <v>100624.68</v>
      </c>
      <c r="C5" s="4">
        <v>144699</v>
      </c>
    </row>
    <row r="6" spans="1:3" x14ac:dyDescent="0.25">
      <c r="A6" s="6" t="s">
        <v>24</v>
      </c>
      <c r="B6" s="4">
        <v>93573.43</v>
      </c>
      <c r="C6" s="4">
        <v>138130</v>
      </c>
    </row>
    <row r="7" spans="1:3" x14ac:dyDescent="0.25">
      <c r="A7" s="6" t="s">
        <v>25</v>
      </c>
      <c r="B7" s="4">
        <v>91120.42</v>
      </c>
      <c r="C7" s="4">
        <v>135511</v>
      </c>
    </row>
    <row r="8" spans="1:3" x14ac:dyDescent="0.25">
      <c r="A8" s="6" t="s">
        <v>26</v>
      </c>
      <c r="B8" s="4">
        <v>87869.43</v>
      </c>
      <c r="C8" s="4">
        <v>126996</v>
      </c>
    </row>
    <row r="9" spans="1:3" x14ac:dyDescent="0.25">
      <c r="A9" s="6" t="s">
        <v>27</v>
      </c>
      <c r="B9" s="4">
        <v>89954.49</v>
      </c>
      <c r="C9" s="4">
        <v>137730</v>
      </c>
    </row>
    <row r="10" spans="1:3" x14ac:dyDescent="0.25">
      <c r="A10" s="6" t="s">
        <v>28</v>
      </c>
      <c r="B10" s="4">
        <v>91746.42</v>
      </c>
      <c r="C10" s="4">
        <v>138868</v>
      </c>
    </row>
    <row r="11" spans="1:3" x14ac:dyDescent="0.25">
      <c r="A11" s="6" t="s">
        <v>29</v>
      </c>
      <c r="B11" s="4">
        <v>91549.3</v>
      </c>
      <c r="C11" s="4">
        <v>139459</v>
      </c>
    </row>
    <row r="12" spans="1:3" x14ac:dyDescent="0.25">
      <c r="A12" s="6" t="s">
        <v>30</v>
      </c>
      <c r="B12" s="4">
        <v>94187.47</v>
      </c>
      <c r="C12" s="4">
        <v>145377</v>
      </c>
    </row>
    <row r="13" spans="1:3" x14ac:dyDescent="0.25">
      <c r="A13" s="6" t="s">
        <v>31</v>
      </c>
      <c r="B13" s="4">
        <v>88314.39</v>
      </c>
      <c r="C13" s="4">
        <v>136537</v>
      </c>
    </row>
    <row r="14" spans="1:3" x14ac:dyDescent="0.25">
      <c r="A14" s="6" t="s">
        <v>19</v>
      </c>
      <c r="B14" s="4">
        <v>1119006.33</v>
      </c>
      <c r="C14" s="4">
        <v>1648955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14"/>
  <sheetViews>
    <sheetView tabSelected="1" workbookViewId="0">
      <selection activeCell="B2" sqref="B2:D2"/>
    </sheetView>
  </sheetViews>
  <sheetFormatPr defaultRowHeight="15" x14ac:dyDescent="0.25"/>
  <cols>
    <col min="1" max="1" width="34.28515625" bestFit="1" customWidth="1"/>
    <col min="2" max="2" width="12.7109375" bestFit="1" customWidth="1"/>
    <col min="4" max="4" width="12.5703125" bestFit="1" customWidth="1"/>
  </cols>
  <sheetData>
    <row r="1" spans="1:4" x14ac:dyDescent="0.25">
      <c r="A1" t="s">
        <v>0</v>
      </c>
    </row>
    <row r="2" spans="1:4" x14ac:dyDescent="0.25">
      <c r="A2" t="s">
        <v>1</v>
      </c>
      <c r="B2" t="s">
        <v>2</v>
      </c>
      <c r="C2" t="s">
        <v>3</v>
      </c>
      <c r="D2" t="s">
        <v>4</v>
      </c>
    </row>
    <row r="3" spans="1:4" x14ac:dyDescent="0.25">
      <c r="A3" s="1">
        <v>44562</v>
      </c>
      <c r="B3" s="2">
        <v>131699.07</v>
      </c>
      <c r="C3" s="3">
        <v>196800</v>
      </c>
      <c r="D3" t="s">
        <v>5</v>
      </c>
    </row>
    <row r="4" spans="1:4" x14ac:dyDescent="0.25">
      <c r="A4" s="1">
        <v>44593</v>
      </c>
      <c r="B4" s="2">
        <v>66087.69</v>
      </c>
      <c r="C4" s="3">
        <v>79922</v>
      </c>
      <c r="D4" t="s">
        <v>6</v>
      </c>
    </row>
    <row r="5" spans="1:4" x14ac:dyDescent="0.25">
      <c r="A5" s="1">
        <v>44621</v>
      </c>
      <c r="B5" s="2">
        <v>92279.54</v>
      </c>
      <c r="C5" s="3">
        <v>128926</v>
      </c>
      <c r="D5" t="s">
        <v>7</v>
      </c>
    </row>
    <row r="6" spans="1:4" x14ac:dyDescent="0.25">
      <c r="A6" s="1">
        <v>44652</v>
      </c>
      <c r="B6" s="2">
        <v>100624.68</v>
      </c>
      <c r="C6" s="3">
        <v>144699</v>
      </c>
      <c r="D6" t="s">
        <v>8</v>
      </c>
    </row>
    <row r="7" spans="1:4" x14ac:dyDescent="0.25">
      <c r="A7" s="1">
        <v>44682</v>
      </c>
      <c r="B7" s="2">
        <v>93573.43</v>
      </c>
      <c r="C7" s="3">
        <v>138130</v>
      </c>
      <c r="D7" t="s">
        <v>9</v>
      </c>
    </row>
    <row r="8" spans="1:4" x14ac:dyDescent="0.25">
      <c r="A8" s="1">
        <v>44713</v>
      </c>
      <c r="B8" s="2">
        <v>91120.42</v>
      </c>
      <c r="C8" s="3">
        <v>135511</v>
      </c>
      <c r="D8" t="s">
        <v>10</v>
      </c>
    </row>
    <row r="9" spans="1:4" x14ac:dyDescent="0.25">
      <c r="A9" s="1">
        <v>44743</v>
      </c>
      <c r="B9" s="2">
        <v>87869.43</v>
      </c>
      <c r="C9" s="3">
        <v>126996</v>
      </c>
      <c r="D9" t="s">
        <v>11</v>
      </c>
    </row>
    <row r="10" spans="1:4" x14ac:dyDescent="0.25">
      <c r="A10" s="1">
        <v>44774</v>
      </c>
      <c r="B10" s="2">
        <v>89954.49</v>
      </c>
      <c r="C10" s="3">
        <v>137730</v>
      </c>
      <c r="D10" t="s">
        <v>12</v>
      </c>
    </row>
    <row r="11" spans="1:4" x14ac:dyDescent="0.25">
      <c r="A11" s="1">
        <v>44805</v>
      </c>
      <c r="B11" s="2">
        <v>91746.42</v>
      </c>
      <c r="C11" s="3">
        <v>138868</v>
      </c>
      <c r="D11" t="s">
        <v>13</v>
      </c>
    </row>
    <row r="12" spans="1:4" x14ac:dyDescent="0.25">
      <c r="A12" s="1">
        <v>44835</v>
      </c>
      <c r="B12" s="2">
        <v>91549.3</v>
      </c>
      <c r="C12" s="3">
        <v>139459</v>
      </c>
      <c r="D12" t="s">
        <v>14</v>
      </c>
    </row>
    <row r="13" spans="1:4" x14ac:dyDescent="0.25">
      <c r="A13" s="1">
        <v>44866</v>
      </c>
      <c r="B13" s="2">
        <v>94187.47</v>
      </c>
      <c r="C13" s="3">
        <v>145377</v>
      </c>
      <c r="D13" t="s">
        <v>15</v>
      </c>
    </row>
    <row r="14" spans="1:4" x14ac:dyDescent="0.25">
      <c r="A14" s="1">
        <v>44896</v>
      </c>
      <c r="B14" s="2">
        <v>88314.39</v>
      </c>
      <c r="C14" s="3">
        <v>136537</v>
      </c>
      <c r="D14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I8"/>
  <sheetViews>
    <sheetView workbookViewId="0"/>
  </sheetViews>
  <sheetFormatPr defaultRowHeight="15" x14ac:dyDescent="0.25"/>
  <cols>
    <col min="7" max="7" width="7.42578125" bestFit="1" customWidth="1"/>
    <col min="8" max="8" width="8.85546875" customWidth="1"/>
    <col min="9" max="9" width="12" bestFit="1" customWidth="1"/>
    <col min="11" max="11" width="9.7109375" customWidth="1"/>
  </cols>
  <sheetData>
    <row r="1" spans="1:9" x14ac:dyDescent="0.25">
      <c r="A1">
        <v>5</v>
      </c>
    </row>
    <row r="7" spans="1:9" x14ac:dyDescent="0.25">
      <c r="G7" t="s">
        <v>2</v>
      </c>
      <c r="H7" t="s">
        <v>3</v>
      </c>
      <c r="I7" t="s">
        <v>4</v>
      </c>
    </row>
    <row r="8" spans="1:9" x14ac:dyDescent="0.25">
      <c r="G8">
        <f>INDEX('CONSOLIDADO 2022 CSV - 1'!A1:D14,A1,2)</f>
        <v>92279.54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Drop Down 2">
              <controlPr defaultSize="0" autoLine="0" autoPict="0">
                <anchor moveWithCells="1">
                  <from>
                    <xdr:col>6</xdr:col>
                    <xdr:colOff>38100</xdr:colOff>
                    <xdr:row>4</xdr:row>
                    <xdr:rowOff>0</xdr:rowOff>
                  </from>
                  <to>
                    <xdr:col>10</xdr:col>
                    <xdr:colOff>581025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1]!Limpar_Clique">
                <anchor moveWithCells="1" sizeWithCells="1">
                  <from>
                    <xdr:col>10</xdr:col>
                    <xdr:colOff>342900</xdr:colOff>
                    <xdr:row>12</xdr:row>
                    <xdr:rowOff>180975</xdr:rowOff>
                  </from>
                  <to>
                    <xdr:col>11</xdr:col>
                    <xdr:colOff>561975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Dinamica</vt:lpstr>
      <vt:lpstr>CONSOLIDADO 2022 CSV - 1</vt:lpstr>
      <vt:lpstr>Formulário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2023-08-31T23:12:39Z</dcterms:created>
  <dcterms:modified xsi:type="dcterms:W3CDTF">2023-08-31T23:31:15Z</dcterms:modified>
</cp:coreProperties>
</file>